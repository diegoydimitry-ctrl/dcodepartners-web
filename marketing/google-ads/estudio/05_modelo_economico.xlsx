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Supuestos" sheetId="2" state="visible" r:id="rId4"/>
    <sheet name="Contribucion" sheetId="3" state="visible" r:id="rId5"/>
    <sheet name="Embudo" sheetId="4" state="visible" r:id="rId6"/>
    <sheet name="Umbrales" sheetId="5" state="visible" r:id="rId7"/>
    <sheet name="Oferta400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<sst xmlns="http://schemas.openxmlformats.org/spreadsheetml/2006/main" count="144" uniqueCount="139">
  <si>
    <t xml:space="preserve">MODELO ECONÓMICO — GOOGLE ADS · D-CODE PARTNERS (18/09/2026)</t>
  </si>
  <si>
    <t xml:space="preserve">Este libro NO es una previsión. Son escenarios matemáticos para entender la economía del canal.</t>
  </si>
  <si>
    <t xml:space="preserve">Texto AZUL = dato de entrada editable. Relleno AMARILLO = supuesto clave que hay que sustituir por un dato MEDIDO.</t>
  </si>
  <si>
    <t xml:space="preserve">Texto negro = fórmula. Texto verde = referencia a otra hoja.</t>
  </si>
  <si>
    <t xml:space="preserve">Etiquetas: [FUENTE] dato citado · [HIPÓTESIS] supuesto sin medir · [DECISIÓN] regla de negocio que decide Dirección.</t>
  </si>
  <si>
    <t xml:space="preserve">Precios: PRICING OFICIAL de Notion (19/08/2026). OJO: los criterios de pricing del 18/09/2026 prohíben paquetes tipo Basic/Pro;</t>
  </si>
  <si>
    <t xml:space="preserve">   hay que reconciliar ambos antes de cotizar. Aquí se usan solo como referencia de ticket.</t>
  </si>
  <si>
    <t xml:space="preserve">Coste interno: 20 €/h [FUENTE: decisión de Dirección 18/09/2026].</t>
  </si>
  <si>
    <t xml:space="preserve">Horas de implantación, horas mensuales e infraestructura: [HIPÓTESIS] — NO MEDIDO. Sustituir por horas reales registradas.</t>
  </si>
  <si>
    <t xml:space="preserve">Modelo 3 (30 días de prueba sin factura): el coste de las pruebas que NO se convierten se imputa como coste de adquisición.</t>
  </si>
  <si>
    <t xml:space="preserve">Hojas: Supuestos · Contribucion · Embudo · Umbrales · Oferta400</t>
  </si>
  <si>
    <t xml:space="preserve">Cómo usar: 1) cambia el producto en Supuestos!C4  2) sustituye amarillos por datos reales  3) lee Embudo y Umbrales.</t>
  </si>
  <si>
    <t xml:space="preserve">SUPUESTOS</t>
  </si>
  <si>
    <t xml:space="preserve">Coste interno (€/h)</t>
  </si>
  <si>
    <t xml:space="preserve">[FUENTE] Dirección 18/09/2026</t>
  </si>
  <si>
    <t xml:space="preserve">Producto seleccionado (1-3)</t>
  </si>
  <si>
    <t xml:space="preserve">1=Automatización Básica · 2=Soporte IA Starter · 3=Comercial IA núcleo</t>
  </si>
  <si>
    <t xml:space="preserve">Meses de relación considerados</t>
  </si>
  <si>
    <t xml:space="preserve">[HIPÓTESIS] retención NO MEDIDA (sin histórico de clientes suficiente)</t>
  </si>
  <si>
    <t xml:space="preserve">Fracción de la contribución admisible para adquisición (α)</t>
  </si>
  <si>
    <t xml:space="preserve">[DECISIÓN] regla de negocio: la decide Dirección</t>
  </si>
  <si>
    <t xml:space="preserve">Producto</t>
  </si>
  <si>
    <t xml:space="preserve">ID</t>
  </si>
  <si>
    <t xml:space="preserve">Implantación (€)</t>
  </si>
  <si>
    <t xml:space="preserve">Mensualidad (€/mes)</t>
  </si>
  <si>
    <t xml:space="preserve">Horas implantación</t>
  </si>
  <si>
    <t xml:space="preserve">Horas/mes servicio</t>
  </si>
  <si>
    <t xml:space="preserve">Infra €/mes</t>
  </si>
  <si>
    <t xml:space="preserve">Fuente precio</t>
  </si>
  <si>
    <t xml:space="preserve">Automatización Básica</t>
  </si>
  <si>
    <t xml:space="preserve">[FUENTE] Notion · PRICING OFICIAL 19/08/2026 (vendible ahora). Horas e infra: [HIPÓTESIS]</t>
  </si>
  <si>
    <t xml:space="preserve">Soporte IA Starter (Tickets IA)</t>
  </si>
  <si>
    <t xml:space="preserve">Comercial IA núcleo</t>
  </si>
  <si>
    <t xml:space="preserve">Horas comerciales por etapa</t>
  </si>
  <si>
    <t xml:space="preserve">Horas</t>
  </si>
  <si>
    <t xml:space="preserve">Nota</t>
  </si>
  <si>
    <t xml:space="preserve">Triaje por lead</t>
  </si>
  <si>
    <t xml:space="preserve">[HIPÓTESIS]</t>
  </si>
  <si>
    <t xml:space="preserve">Reunión/diagnóstico celebrado (prep+reunión+notas)</t>
  </si>
  <si>
    <t xml:space="preserve">Propuesta preparada</t>
  </si>
  <si>
    <t xml:space="preserve">[HIPÓTESIS] el generador de propuestas reduce esto</t>
  </si>
  <si>
    <t xml:space="preserve">Palanca del escenario</t>
  </si>
  <si>
    <t xml:space="preserve">X desfavorable</t>
  </si>
  <si>
    <t xml:space="preserve">Y intermedio</t>
  </si>
  <si>
    <t xml:space="preserve">Z favorable</t>
  </si>
  <si>
    <t xml:space="preserve">Referencia externa</t>
  </si>
  <si>
    <t xml:space="preserve">CPC medio (€)</t>
  </si>
  <si>
    <t xml:space="preserve">[FUENTE] EE.UU. Business Services 2026 mediana 5,87 $ (WordStream/LocaliQ). España: estimaciones de terceros 0,40–4 € (adberg/Ahrefs 2026). Keywords concretas: NO MEDIDO</t>
  </si>
  <si>
    <t xml:space="preserve">CTR</t>
  </si>
  <si>
    <t xml:space="preserve">[FUENTE] EE.UU. Business Services 2026 mediana 6,10 %</t>
  </si>
  <si>
    <t xml:space="preserve">Conversión clic→lead (landing)</t>
  </si>
  <si>
    <t xml:space="preserve">[FUENTE] EE.UU. Business Services 2026 4,85 %; Unbounce Professional Services mediana 6,1 % (todas las fuentes de tráfico)</t>
  </si>
  <si>
    <t xml:space="preserve">Lead→lead válido</t>
  </si>
  <si>
    <t xml:space="preserve">[FUENTE parcial] Chili Piper 2024: 14,1 % de envíos B2B descartados. Aquí más conservador. [HIPÓTESIS]</t>
  </si>
  <si>
    <t xml:space="preserve">Válido→reunión celebrada</t>
  </si>
  <si>
    <t xml:space="preserve">[HIPÓTESIS] NO MEDIDO en D-Code</t>
  </si>
  <si>
    <t xml:space="preserve">Reunión→propuesta</t>
  </si>
  <si>
    <t xml:space="preserve">[HIPÓTESIS] NO MEDIDO</t>
  </si>
  <si>
    <t xml:space="preserve">Propuesta→inicio prueba 30 días</t>
  </si>
  <si>
    <t xml:space="preserve">Prueba→cliente que paga</t>
  </si>
  <si>
    <t xml:space="preserve">[HIPÓTESIS] NO MEDIDO — palanca más sensible del Modelo 3</t>
  </si>
  <si>
    <t xml:space="preserve">Tasa lead→cliente (resultado)</t>
  </si>
  <si>
    <t xml:space="preserve">Producto activo</t>
  </si>
  <si>
    <t xml:space="preserve">Implantación activa</t>
  </si>
  <si>
    <t xml:space="preserve">Mensualidad activa</t>
  </si>
  <si>
    <t xml:space="preserve">Horas implantación activas</t>
  </si>
  <si>
    <t xml:space="preserve">Horas/mes activas</t>
  </si>
  <si>
    <t xml:space="preserve">Infra activa</t>
  </si>
  <si>
    <t xml:space="preserve">CONTRIBUCIÓN POR CLIENTE Y CAC MÁXIMO</t>
  </si>
  <si>
    <t xml:space="preserve">Margen implantación (€)</t>
  </si>
  <si>
    <t xml:space="preserve">Contribución mensual (€)</t>
  </si>
  <si>
    <t xml:space="preserve">Contribución en N meses (€)</t>
  </si>
  <si>
    <t xml:space="preserve">CAC máx. equilibrio (€)</t>
  </si>
  <si>
    <t xml:space="preserve">CAC máx. con α (€)</t>
  </si>
  <si>
    <t xml:space="preserve">Meses para recuperar CAC α tras implantación</t>
  </si>
  <si>
    <t xml:space="preserve">Fórmula: contribución = (implantación − horas×20) + (mensualidad − horas/mes×20 − infra) × meses. CAC máx. equilibrio = contribución (beneficio 0). CAC máx. con α = contribución × α [DECISIÓN].</t>
  </si>
  <si>
    <t xml:space="preserve">Payback: con Modelo 3 la implantación se factura al día 30 si el cliente continúa; si el margen de implantación cubre el CAC, el payback llega con esa primera factura (0 meses adicionales).</t>
  </si>
  <si>
    <t xml:space="preserve">EMBUDO POR PRESUPUESTO Y ESCENARIO (producto activo en Supuestos!C4)</t>
  </si>
  <si>
    <t xml:space="preserve">100 € · X</t>
  </si>
  <si>
    <t xml:space="preserve">100 € · Y</t>
  </si>
  <si>
    <t xml:space="preserve">100 € · Z</t>
  </si>
  <si>
    <t xml:space="preserve">400 € · X</t>
  </si>
  <si>
    <t xml:space="preserve">400 € · Y</t>
  </si>
  <si>
    <t xml:space="preserve">400 € · Z</t>
  </si>
  <si>
    <t xml:space="preserve">800 € · X</t>
  </si>
  <si>
    <t xml:space="preserve">800 € · Y</t>
  </si>
  <si>
    <t xml:space="preserve">800 € · Z</t>
  </si>
  <si>
    <t xml:space="preserve">Presupuesto (€)</t>
  </si>
  <si>
    <t xml:space="preserve">Clics</t>
  </si>
  <si>
    <t xml:space="preserve">Impresiones</t>
  </si>
  <si>
    <t xml:space="preserve">Leads</t>
  </si>
  <si>
    <t xml:space="preserve">Leads válidos</t>
  </si>
  <si>
    <t xml:space="preserve">Reuniones celebradas</t>
  </si>
  <si>
    <t xml:space="preserve">Propuestas</t>
  </si>
  <si>
    <t xml:space="preserve">Pruebas iniciadas</t>
  </si>
  <si>
    <t xml:space="preserve">Clientes que pagan</t>
  </si>
  <si>
    <t xml:space="preserve">CPL (€)</t>
  </si>
  <si>
    <t xml:space="preserve">Coste por reunión (€)</t>
  </si>
  <si>
    <t xml:space="preserve">CAC solo anuncios (€)</t>
  </si>
  <si>
    <t xml:space="preserve">Horas comerciales</t>
  </si>
  <si>
    <t xml:space="preserve">Coste pruebas no convertidas (€)</t>
  </si>
  <si>
    <t xml:space="preserve">CAC completo (€)</t>
  </si>
  <si>
    <t xml:space="preserve">Contribución N meses de los clientes (€)</t>
  </si>
  <si>
    <t xml:space="preserve">Resultado neto del escenario (€)</t>
  </si>
  <si>
    <t xml:space="preserve">Valores fraccionarios (p.ej. 0,3 clientes) = esperanza matemática, no un resultado posible. Con volúmenes así de pequeños la varianza domina: ver Umbrales.</t>
  </si>
  <si>
    <t xml:space="preserve">UMBRALES: QUÉ TIENE QUE OCURRIR PARA QUE GOOGLE ADS TENGA SENTIDO</t>
  </si>
  <si>
    <t xml:space="preserve">CAC máx. con α del producto activo (€)</t>
  </si>
  <si>
    <t xml:space="preserve">Tasa lead→cliente usada (escenario Y)</t>
  </si>
  <si>
    <t xml:space="preserve">Coste no publicitario por cliente, escenario Y (€)</t>
  </si>
  <si>
    <t xml:space="preserve">(horas comerciales + pruebas fallidas por cliente, columna 400 € · Y)</t>
  </si>
  <si>
    <t xml:space="preserve">CPL máximo admisible (€)</t>
  </si>
  <si>
    <t xml:space="preserve">Fórmula: CPL máx = (CAC máx α − coste no publicitario por cliente) × tasa lead→cliente</t>
  </si>
  <si>
    <t xml:space="preserve">Tabla CPL = CPC / conversión landing (€). Verde si ≤ CPL máximo.</t>
  </si>
  <si>
    <t xml:space="preserve">CPC \ CVR</t>
  </si>
  <si>
    <t xml:space="preserve">Tamaño de muestra: con conversión real del 5 %, P(0 leads) = 0,95^clics → 20 clics: 36 % · 40 clics: 13 % · 100 clics: 0,6 %.</t>
  </si>
  <si>
    <t xml:space="preserve">Para estimar una conversión ~5 % con ±2,5 puntos (IC 95 %) hacen falta ≈ 292 clics: n = 1,96² · p(1−p) / 0,025².</t>
  </si>
  <si>
    <t xml:space="preserve">Clics necesarios (fórmula, p y margen editables):</t>
  </si>
  <si>
    <t xml:space="preserve">p</t>
  </si>
  <si>
    <t xml:space="preserve">margen ±</t>
  </si>
  <si>
    <t xml:space="preserve">n</t>
  </si>
  <si>
    <t xml:space="preserve">OFERTA PROMOCIONAL — CÁLCULO DE CAJA</t>
  </si>
  <si>
    <t xml:space="preserve">Gasto mínimo exigido sin impuestos (€)</t>
  </si>
  <si>
    <t xml:space="preserve">[A VERIFICAR EN LA CUENTA] Los términos oficiales dicen 'requisito de inversión mínima de la oferta seleccionada' sin cifra; terceros (clicksem.es 07/2026, ongoing.es 12/2025) citan gastar 400 € → 400 €</t>
  </si>
  <si>
    <t xml:space="preserve">Crédito recibido (€)</t>
  </si>
  <si>
    <t xml:space="preserve">[FUENTE] texto de la oferta mostrada al usuario</t>
  </si>
  <si>
    <t xml:space="preserve">Plazo para alcanzar el gasto (días)</t>
  </si>
  <si>
    <t xml:space="preserve">[FUENTE] google.com/intl/es_es/ads/coupons/terms/cyoi/</t>
  </si>
  <si>
    <t xml:space="preserve">Días hasta abono del crédito (típico)</t>
  </si>
  <si>
    <t xml:space="preserve">[FUENTE] ídem: 'por lo general en un plazo de 35 días'</t>
  </si>
  <si>
    <t xml:space="preserve">Caducidad del crédito tras aplicarse (días)</t>
  </si>
  <si>
    <t xml:space="preserve">[FUENTE] ídem</t>
  </si>
  <si>
    <t xml:space="preserve">Recargo operativo regulatorio España</t>
  </si>
  <si>
    <t xml:space="preserve">[FUENTE] support.google.com/google-ads/answer/9750227 — desde 01/07/2024. Si cuenta o no para el umbral: NO VERIFICADO</t>
  </si>
  <si>
    <t xml:space="preserve">Desembolso propio mínimo para desbloquear (€, con recargo, sin IVA)</t>
  </si>
  <si>
    <t xml:space="preserve">Gasto total si se consume también el crédito (€ de inversión publicitaria)</t>
  </si>
  <si>
    <t xml:space="preserve">Recargo sobre el tramo pagado con crédito (€, NO VERIFICADO si lo cubre el crédito)</t>
  </si>
  <si>
    <t xml:space="preserve">Coste efectivo por € de anuncio si se usa todo (propio / total)</t>
  </si>
  <si>
    <t xml:space="preserve">Ventana total aproximada de la promoción (días)</t>
  </si>
  <si>
    <t xml:space="preserve">Lectura: los 400 € no son gratis. Primero hay que pagar el gasto mínimo en 60 días; el crédito llega después y caduca. Solo compensa si el gasto propio ya se iba a hacer con criterio de aprendizaje.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</si>
</sst>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&quot; €&quot;;\(#,##0&quot; €)&quot;;\-"/>
    <numFmt numFmtId="167" formatCode="#,##0.00&quot; €&quot;;\(#,##0.00&quot; €)&quot;;\-"/>
    <numFmt numFmtId="168" formatCode="#,##0.0;\(#,##0.0\);\-"/>
    <numFmt numFmtId="169" formatCode="#,##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1B18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6" min="3" style="0" width="16"/>
    <col collapsed="false" customWidth="true" hidden="false" outlineLevel="0" max="7" min="7" style="0" width="12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0" t="s">
        <v>13</v>
      </c>
      <c r="C3" s="3" t="n">
        <v>20</v>
      </c>
      <c r="D3" s="4" t="s">
        <v>14</v>
      </c>
    </row>
    <row r="4" customFormat="false" ht="15" hidden="false" customHeight="false" outlineLevel="0" collapsed="false">
      <c r="A4" s="0" t="s">
        <v>15</v>
      </c>
      <c r="C4" s="5" t="n">
        <v>3</v>
      </c>
      <c r="D4" s="4" t="s">
        <v>16</v>
      </c>
    </row>
    <row r="5" customFormat="false" ht="15" hidden="false" customHeight="false" outlineLevel="0" collapsed="false">
      <c r="A5" s="0" t="s">
        <v>17</v>
      </c>
      <c r="C5" s="5" t="n">
        <v>12</v>
      </c>
      <c r="D5" s="4" t="s">
        <v>18</v>
      </c>
    </row>
    <row r="6" customFormat="false" ht="15" hidden="false" customHeight="false" outlineLevel="0" collapsed="false">
      <c r="A6" s="0" t="s">
        <v>19</v>
      </c>
      <c r="C6" s="6" t="n">
        <v>0.5</v>
      </c>
      <c r="D6" s="4" t="s">
        <v>20</v>
      </c>
    </row>
    <row r="8" customFormat="false" ht="26.85" hidden="false" customHeight="false" outlineLevel="0" collapsed="false">
      <c r="A8" s="7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7" t="s">
        <v>26</v>
      </c>
      <c r="G8" s="7" t="s">
        <v>27</v>
      </c>
      <c r="H8" s="7" t="s">
        <v>28</v>
      </c>
    </row>
    <row r="9" customFormat="false" ht="15" hidden="false" customHeight="false" outlineLevel="0" collapsed="false">
      <c r="A9" s="2" t="s">
        <v>29</v>
      </c>
      <c r="B9" s="2" t="n">
        <v>1</v>
      </c>
      <c r="C9" s="8" t="n">
        <v>800</v>
      </c>
      <c r="D9" s="8" t="n">
        <v>130</v>
      </c>
      <c r="E9" s="5" t="n">
        <v>15</v>
      </c>
      <c r="F9" s="5" t="n">
        <v>2</v>
      </c>
      <c r="G9" s="9" t="n">
        <v>20</v>
      </c>
      <c r="H9" s="4" t="s">
        <v>30</v>
      </c>
    </row>
    <row r="10" customFormat="false" ht="15" hidden="false" customHeight="false" outlineLevel="0" collapsed="false">
      <c r="A10" s="2" t="s">
        <v>31</v>
      </c>
      <c r="B10" s="2" t="n">
        <v>2</v>
      </c>
      <c r="C10" s="8" t="n">
        <v>1600</v>
      </c>
      <c r="D10" s="8" t="n">
        <v>190</v>
      </c>
      <c r="E10" s="5" t="n">
        <v>35</v>
      </c>
      <c r="F10" s="5" t="n">
        <v>3</v>
      </c>
      <c r="G10" s="9" t="n">
        <v>20</v>
      </c>
      <c r="H10" s="4" t="s">
        <v>30</v>
      </c>
    </row>
    <row r="11" customFormat="false" ht="15" hidden="false" customHeight="false" outlineLevel="0" collapsed="false">
      <c r="A11" s="2" t="s">
        <v>32</v>
      </c>
      <c r="B11" s="2" t="n">
        <v>3</v>
      </c>
      <c r="C11" s="8" t="n">
        <v>2600</v>
      </c>
      <c r="D11" s="8" t="n">
        <v>280</v>
      </c>
      <c r="E11" s="5" t="n">
        <v>50</v>
      </c>
      <c r="F11" s="5" t="n">
        <v>4</v>
      </c>
      <c r="G11" s="9" t="n">
        <v>20</v>
      </c>
      <c r="H11" s="4" t="s">
        <v>30</v>
      </c>
    </row>
    <row r="13" customFormat="false" ht="15" hidden="false" customHeight="false" outlineLevel="0" collapsed="false">
      <c r="A13" s="7" t="s">
        <v>33</v>
      </c>
      <c r="B13" s="7"/>
      <c r="C13" s="7" t="s">
        <v>34</v>
      </c>
      <c r="D13" s="7" t="s">
        <v>35</v>
      </c>
    </row>
    <row r="14" customFormat="false" ht="15" hidden="false" customHeight="false" outlineLevel="0" collapsed="false">
      <c r="A14" s="0" t="s">
        <v>36</v>
      </c>
      <c r="C14" s="5" t="n">
        <v>0.25</v>
      </c>
      <c r="D14" s="4" t="s">
        <v>37</v>
      </c>
    </row>
    <row r="15" customFormat="false" ht="15" hidden="false" customHeight="false" outlineLevel="0" collapsed="false">
      <c r="A15" s="0" t="s">
        <v>38</v>
      </c>
      <c r="C15" s="5" t="n">
        <v>1.5</v>
      </c>
      <c r="D15" s="4" t="s">
        <v>37</v>
      </c>
    </row>
    <row r="16" customFormat="false" ht="15" hidden="false" customHeight="false" outlineLevel="0" collapsed="false">
      <c r="A16" s="0" t="s">
        <v>39</v>
      </c>
      <c r="C16" s="5" t="n">
        <v>2</v>
      </c>
      <c r="D16" s="4" t="s">
        <v>40</v>
      </c>
    </row>
    <row r="18" customFormat="false" ht="26.85" hidden="false" customHeight="false" outlineLevel="0" collapsed="false">
      <c r="A18" s="7" t="s">
        <v>41</v>
      </c>
      <c r="B18" s="7"/>
      <c r="C18" s="7" t="s">
        <v>42</v>
      </c>
      <c r="D18" s="7" t="s">
        <v>43</v>
      </c>
      <c r="E18" s="7" t="s">
        <v>44</v>
      </c>
      <c r="F18" s="7" t="s">
        <v>45</v>
      </c>
    </row>
    <row r="19" customFormat="false" ht="15" hidden="false" customHeight="false" outlineLevel="0" collapsed="false">
      <c r="A19" s="0" t="s">
        <v>46</v>
      </c>
      <c r="C19" s="10" t="n">
        <v>4</v>
      </c>
      <c r="D19" s="10" t="n">
        <v>2.5</v>
      </c>
      <c r="E19" s="10" t="n">
        <v>1.5</v>
      </c>
      <c r="F19" s="4" t="s">
        <v>47</v>
      </c>
    </row>
    <row r="20" customFormat="false" ht="15" hidden="false" customHeight="false" outlineLevel="0" collapsed="false">
      <c r="A20" s="0" t="s">
        <v>48</v>
      </c>
      <c r="C20" s="6" t="n">
        <v>0.03</v>
      </c>
      <c r="D20" s="6" t="n">
        <v>0.05</v>
      </c>
      <c r="E20" s="6" t="n">
        <v>0.08</v>
      </c>
      <c r="F20" s="4" t="s">
        <v>49</v>
      </c>
    </row>
    <row r="21" customFormat="false" ht="15" hidden="false" customHeight="false" outlineLevel="0" collapsed="false">
      <c r="A21" s="0" t="s">
        <v>50</v>
      </c>
      <c r="C21" s="6" t="n">
        <v>0.02</v>
      </c>
      <c r="D21" s="6" t="n">
        <v>0.05</v>
      </c>
      <c r="E21" s="6" t="n">
        <v>0.08</v>
      </c>
      <c r="F21" s="4" t="s">
        <v>51</v>
      </c>
    </row>
    <row r="22" customFormat="false" ht="15" hidden="false" customHeight="false" outlineLevel="0" collapsed="false">
      <c r="A22" s="0" t="s">
        <v>52</v>
      </c>
      <c r="C22" s="6" t="n">
        <v>0.5</v>
      </c>
      <c r="D22" s="6" t="n">
        <v>0.65</v>
      </c>
      <c r="E22" s="6" t="n">
        <v>0.75</v>
      </c>
      <c r="F22" s="4" t="s">
        <v>53</v>
      </c>
    </row>
    <row r="23" customFormat="false" ht="15" hidden="false" customHeight="false" outlineLevel="0" collapsed="false">
      <c r="A23" s="0" t="s">
        <v>54</v>
      </c>
      <c r="C23" s="6" t="n">
        <v>0.4</v>
      </c>
      <c r="D23" s="6" t="n">
        <v>0.6</v>
      </c>
      <c r="E23" s="6" t="n">
        <v>0.7</v>
      </c>
      <c r="F23" s="4" t="s">
        <v>55</v>
      </c>
    </row>
    <row r="24" customFormat="false" ht="15" hidden="false" customHeight="false" outlineLevel="0" collapsed="false">
      <c r="A24" s="0" t="s">
        <v>56</v>
      </c>
      <c r="C24" s="6" t="n">
        <v>0.5</v>
      </c>
      <c r="D24" s="6" t="n">
        <v>0.65</v>
      </c>
      <c r="E24" s="6" t="n">
        <v>0.75</v>
      </c>
      <c r="F24" s="4" t="s">
        <v>57</v>
      </c>
    </row>
    <row r="25" customFormat="false" ht="15" hidden="false" customHeight="false" outlineLevel="0" collapsed="false">
      <c r="A25" s="0" t="s">
        <v>58</v>
      </c>
      <c r="C25" s="6" t="n">
        <v>0.3</v>
      </c>
      <c r="D25" s="6" t="n">
        <v>0.5</v>
      </c>
      <c r="E25" s="6" t="n">
        <v>0.6</v>
      </c>
      <c r="F25" s="4" t="s">
        <v>57</v>
      </c>
    </row>
    <row r="26" customFormat="false" ht="15" hidden="false" customHeight="false" outlineLevel="0" collapsed="false">
      <c r="A26" s="0" t="s">
        <v>59</v>
      </c>
      <c r="C26" s="6" t="n">
        <v>0.5</v>
      </c>
      <c r="D26" s="6" t="n">
        <v>0.7</v>
      </c>
      <c r="E26" s="6" t="n">
        <v>0.8</v>
      </c>
      <c r="F26" s="4" t="s">
        <v>60</v>
      </c>
    </row>
    <row r="28" customFormat="false" ht="15" hidden="false" customHeight="false" outlineLevel="0" collapsed="false">
      <c r="A28" s="11" t="s">
        <v>61</v>
      </c>
      <c r="C28" s="12" t="n">
        <f aca="false">C22*C23*C24*C25*C26</f>
        <v>0.015</v>
      </c>
      <c r="D28" s="12" t="n">
        <f aca="false">D22*D23*D24*D25*D26</f>
        <v>0.088725</v>
      </c>
      <c r="E28" s="12" t="n">
        <f aca="false">E22*E23*E24*E25*E26</f>
        <v>0.189</v>
      </c>
    </row>
    <row r="30" customFormat="false" ht="15" hidden="false" customHeight="false" outlineLevel="0" collapsed="false">
      <c r="A30" s="0" t="s">
        <v>62</v>
      </c>
      <c r="C30" s="0" t="str">
        <f aca="false">INDEX(A9:A11,$C$4)</f>
        <v>Comercial IA núcleo</v>
      </c>
    </row>
    <row r="31" customFormat="false" ht="15" hidden="false" customHeight="false" outlineLevel="0" collapsed="false">
      <c r="A31" s="0" t="s">
        <v>63</v>
      </c>
      <c r="C31" s="13" t="n">
        <f aca="false">INDEX(C9:C11,$C$4)</f>
        <v>2600</v>
      </c>
    </row>
    <row r="32" customFormat="false" ht="15" hidden="false" customHeight="false" outlineLevel="0" collapsed="false">
      <c r="A32" s="0" t="s">
        <v>64</v>
      </c>
      <c r="C32" s="13" t="n">
        <f aca="false">INDEX(D9:D11,$C$4)</f>
        <v>280</v>
      </c>
    </row>
    <row r="33" customFormat="false" ht="15" hidden="false" customHeight="false" outlineLevel="0" collapsed="false">
      <c r="A33" s="0" t="s">
        <v>65</v>
      </c>
      <c r="C33" s="14" t="n">
        <f aca="false">INDEX(E9:E11,$C$4)</f>
        <v>50</v>
      </c>
    </row>
    <row r="34" customFormat="false" ht="15" hidden="false" customHeight="false" outlineLevel="0" collapsed="false">
      <c r="A34" s="0" t="s">
        <v>66</v>
      </c>
      <c r="C34" s="14" t="n">
        <f aca="false">INDEX(F9:F11,$C$4)</f>
        <v>4</v>
      </c>
    </row>
    <row r="35" customFormat="false" ht="15" hidden="false" customHeight="false" outlineLevel="0" collapsed="false">
      <c r="A35" s="0" t="s">
        <v>67</v>
      </c>
      <c r="C35" s="13" t="n">
        <f aca="false">INDEX(G9:G11,$C$4)</f>
        <v>20</v>
      </c>
    </row>
  </sheetData>
  <dataValidations count="1">
    <dataValidation allowBlank="false" errorStyle="stop" operator="between" showDropDown="false" showErrorMessage="false" showInputMessage="false" sqref="C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1" t="s">
        <v>68</v>
      </c>
    </row>
    <row r="3" customFormat="false" ht="26.85" hidden="false" customHeight="false" outlineLevel="0" collapsed="false">
      <c r="A3" s="7" t="s">
        <v>21</v>
      </c>
      <c r="B3" s="7" t="s">
        <v>69</v>
      </c>
      <c r="C3" s="7" t="s">
        <v>70</v>
      </c>
      <c r="D3" s="7" t="s">
        <v>71</v>
      </c>
      <c r="E3" s="7" t="s">
        <v>72</v>
      </c>
      <c r="F3" s="7" t="s">
        <v>73</v>
      </c>
      <c r="G3" s="7" t="s">
        <v>74</v>
      </c>
    </row>
    <row r="4" customFormat="false" ht="15" hidden="false" customHeight="false" outlineLevel="0" collapsed="false">
      <c r="A4" s="15" t="str">
        <f aca="false">Supuestos!A9</f>
        <v>Automatización Básica</v>
      </c>
      <c r="B4" s="13" t="n">
        <f aca="false">Supuestos!C9-Supuestos!E9*Supuestos!$C$3</f>
        <v>500</v>
      </c>
      <c r="C4" s="13" t="n">
        <f aca="false">Supuestos!D9-Supuestos!F9*Supuestos!$C$3-Supuestos!G9</f>
        <v>70</v>
      </c>
      <c r="D4" s="13" t="n">
        <f aca="false">B4+C4*Supuestos!$C$5</f>
        <v>1340</v>
      </c>
      <c r="E4" s="13" t="n">
        <f aca="false">D4</f>
        <v>1340</v>
      </c>
      <c r="F4" s="13" t="n">
        <f aca="false">D4*Supuestos!$C$6</f>
        <v>670</v>
      </c>
      <c r="G4" s="14" t="n">
        <f aca="false">IF(F4&lt;=B4,0,IF(C4&lt;=0,"nunca",(F4-B4)/C4))</f>
        <v>2.42857142857143</v>
      </c>
    </row>
    <row r="5" customFormat="false" ht="15" hidden="false" customHeight="false" outlineLevel="0" collapsed="false">
      <c r="A5" s="15" t="str">
        <f aca="false">Supuestos!A10</f>
        <v>Soporte IA Starter (Tickets IA)</v>
      </c>
      <c r="B5" s="13" t="n">
        <f aca="false">Supuestos!C10-Supuestos!E10*Supuestos!$C$3</f>
        <v>900</v>
      </c>
      <c r="C5" s="13" t="n">
        <f aca="false">Supuestos!D10-Supuestos!F10*Supuestos!$C$3-Supuestos!G10</f>
        <v>110</v>
      </c>
      <c r="D5" s="13" t="n">
        <f aca="false">B5+C5*Supuestos!$C$5</f>
        <v>2220</v>
      </c>
      <c r="E5" s="13" t="n">
        <f aca="false">D5</f>
        <v>2220</v>
      </c>
      <c r="F5" s="13" t="n">
        <f aca="false">D5*Supuestos!$C$6</f>
        <v>1110</v>
      </c>
      <c r="G5" s="14" t="n">
        <f aca="false">IF(F5&lt;=B5,0,IF(C5&lt;=0,"nunca",(F5-B5)/C5))</f>
        <v>1.90909090909091</v>
      </c>
    </row>
    <row r="6" customFormat="false" ht="15" hidden="false" customHeight="false" outlineLevel="0" collapsed="false">
      <c r="A6" s="15" t="str">
        <f aca="false">Supuestos!A11</f>
        <v>Comercial IA núcleo</v>
      </c>
      <c r="B6" s="13" t="n">
        <f aca="false">Supuestos!C11-Supuestos!E11*Supuestos!$C$3</f>
        <v>1600</v>
      </c>
      <c r="C6" s="13" t="n">
        <f aca="false">Supuestos!D11-Supuestos!F11*Supuestos!$C$3-Supuestos!G11</f>
        <v>180</v>
      </c>
      <c r="D6" s="13" t="n">
        <f aca="false">B6+C6*Supuestos!$C$5</f>
        <v>3760</v>
      </c>
      <c r="E6" s="13" t="n">
        <f aca="false">D6</f>
        <v>3760</v>
      </c>
      <c r="F6" s="13" t="n">
        <f aca="false">D6*Supuestos!$C$6</f>
        <v>1880</v>
      </c>
      <c r="G6" s="14" t="n">
        <f aca="false">IF(F6&lt;=B6,0,IF(C6&lt;=0,"nunca",(F6-B6)/C6))</f>
        <v>1.55555555555556</v>
      </c>
    </row>
    <row r="8" customFormat="false" ht="15" hidden="false" customHeight="false" outlineLevel="0" collapsed="false">
      <c r="A8" s="0" t="s">
        <v>75</v>
      </c>
    </row>
    <row r="9" customFormat="false" ht="15" hidden="false" customHeight="false" outlineLevel="0" collapsed="false">
      <c r="A9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0" t="str">
        <f aca="false">"Producto: "&amp;Supuestos!C30</f>
        <v>Producto: Comercial IA núcleo</v>
      </c>
    </row>
    <row r="3" customFormat="false" ht="15" hidden="false" customHeight="false" outlineLevel="0" collapsed="false">
      <c r="B3" s="16" t="s">
        <v>78</v>
      </c>
      <c r="C3" s="16" t="s">
        <v>79</v>
      </c>
      <c r="D3" s="16" t="s">
        <v>80</v>
      </c>
      <c r="E3" s="16" t="s">
        <v>81</v>
      </c>
      <c r="F3" s="16" t="s">
        <v>82</v>
      </c>
      <c r="G3" s="16" t="s">
        <v>83</v>
      </c>
      <c r="H3" s="16" t="s">
        <v>84</v>
      </c>
      <c r="I3" s="16" t="s">
        <v>85</v>
      </c>
      <c r="J3" s="16" t="s">
        <v>86</v>
      </c>
    </row>
    <row r="4" customFormat="false" ht="15" hidden="false" customHeight="false" outlineLevel="0" collapsed="false">
      <c r="A4" s="0" t="s">
        <v>87</v>
      </c>
      <c r="B4" s="8" t="n">
        <v>100</v>
      </c>
      <c r="C4" s="8" t="n">
        <v>100</v>
      </c>
      <c r="D4" s="8" t="n">
        <v>100</v>
      </c>
      <c r="E4" s="8" t="n">
        <v>400</v>
      </c>
      <c r="F4" s="8" t="n">
        <v>400</v>
      </c>
      <c r="G4" s="8" t="n">
        <v>400</v>
      </c>
      <c r="H4" s="8" t="n">
        <v>800</v>
      </c>
      <c r="I4" s="8" t="n">
        <v>800</v>
      </c>
      <c r="J4" s="8" t="n">
        <v>800</v>
      </c>
    </row>
    <row r="5" customFormat="false" ht="15" hidden="false" customHeight="false" outlineLevel="0" collapsed="false">
      <c r="A5" s="0" t="s">
        <v>88</v>
      </c>
      <c r="B5" s="14" t="n">
        <f aca="false">B4/Supuestos!C19</f>
        <v>25</v>
      </c>
      <c r="C5" s="14" t="n">
        <f aca="false">C4/Supuestos!D19</f>
        <v>40</v>
      </c>
      <c r="D5" s="14" t="n">
        <f aca="false">D4/Supuestos!E19</f>
        <v>66.6666666666667</v>
      </c>
      <c r="E5" s="14" t="n">
        <f aca="false">E4/Supuestos!C19</f>
        <v>100</v>
      </c>
      <c r="F5" s="14" t="n">
        <f aca="false">F4/Supuestos!D19</f>
        <v>160</v>
      </c>
      <c r="G5" s="14" t="n">
        <f aca="false">G4/Supuestos!E19</f>
        <v>266.666666666667</v>
      </c>
      <c r="H5" s="14" t="n">
        <f aca="false">H4/Supuestos!C19</f>
        <v>200</v>
      </c>
      <c r="I5" s="14" t="n">
        <f aca="false">I4/Supuestos!D19</f>
        <v>320</v>
      </c>
      <c r="J5" s="14" t="n">
        <f aca="false">J4/Supuestos!E19</f>
        <v>533.333333333333</v>
      </c>
    </row>
    <row r="6" customFormat="false" ht="15" hidden="false" customHeight="false" outlineLevel="0" collapsed="false">
      <c r="A6" s="0" t="s">
        <v>89</v>
      </c>
      <c r="B6" s="17" t="n">
        <f aca="false">B5/Supuestos!C20</f>
        <v>833.333333333333</v>
      </c>
      <c r="C6" s="17" t="n">
        <f aca="false">C5/Supuestos!D20</f>
        <v>800</v>
      </c>
      <c r="D6" s="17" t="n">
        <f aca="false">D5/Supuestos!E20</f>
        <v>833.333333333333</v>
      </c>
      <c r="E6" s="17" t="n">
        <f aca="false">E5/Supuestos!C20</f>
        <v>3333.33333333333</v>
      </c>
      <c r="F6" s="17" t="n">
        <f aca="false">F5/Supuestos!D20</f>
        <v>3200</v>
      </c>
      <c r="G6" s="17" t="n">
        <f aca="false">G5/Supuestos!E20</f>
        <v>3333.33333333333</v>
      </c>
      <c r="H6" s="17" t="n">
        <f aca="false">H5/Supuestos!C20</f>
        <v>6666.66666666667</v>
      </c>
      <c r="I6" s="17" t="n">
        <f aca="false">I5/Supuestos!D20</f>
        <v>6400</v>
      </c>
      <c r="J6" s="17" t="n">
        <f aca="false">J5/Supuestos!E20</f>
        <v>6666.66666666667</v>
      </c>
    </row>
    <row r="7" customFormat="false" ht="15" hidden="false" customHeight="false" outlineLevel="0" collapsed="false">
      <c r="A7" s="0" t="s">
        <v>90</v>
      </c>
      <c r="B7" s="18" t="n">
        <f aca="false">B5*Supuestos!C21</f>
        <v>0.5</v>
      </c>
      <c r="C7" s="18" t="n">
        <f aca="false">C5*Supuestos!D21</f>
        <v>2</v>
      </c>
      <c r="D7" s="18" t="n">
        <f aca="false">D5*Supuestos!E21</f>
        <v>5.33333333333333</v>
      </c>
      <c r="E7" s="18" t="n">
        <f aca="false">E5*Supuestos!C21</f>
        <v>2</v>
      </c>
      <c r="F7" s="18" t="n">
        <f aca="false">F5*Supuestos!D21</f>
        <v>8</v>
      </c>
      <c r="G7" s="18" t="n">
        <f aca="false">G5*Supuestos!E21</f>
        <v>21.3333333333333</v>
      </c>
      <c r="H7" s="18" t="n">
        <f aca="false">H5*Supuestos!C21</f>
        <v>4</v>
      </c>
      <c r="I7" s="18" t="n">
        <f aca="false">I5*Supuestos!D21</f>
        <v>16</v>
      </c>
      <c r="J7" s="18" t="n">
        <f aca="false">J5*Supuestos!E21</f>
        <v>42.6666666666667</v>
      </c>
    </row>
    <row r="8" customFormat="false" ht="15" hidden="false" customHeight="false" outlineLevel="0" collapsed="false">
      <c r="A8" s="0" t="s">
        <v>91</v>
      </c>
      <c r="B8" s="18" t="n">
        <f aca="false">B7*Supuestos!C22</f>
        <v>0.25</v>
      </c>
      <c r="C8" s="18" t="n">
        <f aca="false">C7*Supuestos!D22</f>
        <v>1.3</v>
      </c>
      <c r="D8" s="18" t="n">
        <f aca="false">D7*Supuestos!E22</f>
        <v>4</v>
      </c>
      <c r="E8" s="18" t="n">
        <f aca="false">E7*Supuestos!C22</f>
        <v>1</v>
      </c>
      <c r="F8" s="18" t="n">
        <f aca="false">F7*Supuestos!D22</f>
        <v>5.2</v>
      </c>
      <c r="G8" s="18" t="n">
        <f aca="false">G7*Supuestos!E22</f>
        <v>16</v>
      </c>
      <c r="H8" s="18" t="n">
        <f aca="false">H7*Supuestos!C22</f>
        <v>2</v>
      </c>
      <c r="I8" s="18" t="n">
        <f aca="false">I7*Supuestos!D22</f>
        <v>10.4</v>
      </c>
      <c r="J8" s="18" t="n">
        <f aca="false">J7*Supuestos!E22</f>
        <v>32</v>
      </c>
    </row>
    <row r="9" customFormat="false" ht="15" hidden="false" customHeight="false" outlineLevel="0" collapsed="false">
      <c r="A9" s="0" t="s">
        <v>92</v>
      </c>
      <c r="B9" s="18" t="n">
        <f aca="false">B8*Supuestos!C23</f>
        <v>0.1</v>
      </c>
      <c r="C9" s="18" t="n">
        <f aca="false">C8*Supuestos!D23</f>
        <v>0.78</v>
      </c>
      <c r="D9" s="18" t="n">
        <f aca="false">D8*Supuestos!E23</f>
        <v>2.8</v>
      </c>
      <c r="E9" s="18" t="n">
        <f aca="false">E8*Supuestos!C23</f>
        <v>0.4</v>
      </c>
      <c r="F9" s="18" t="n">
        <f aca="false">F8*Supuestos!D23</f>
        <v>3.12</v>
      </c>
      <c r="G9" s="18" t="n">
        <f aca="false">G8*Supuestos!E23</f>
        <v>11.2</v>
      </c>
      <c r="H9" s="18" t="n">
        <f aca="false">H8*Supuestos!C23</f>
        <v>0.8</v>
      </c>
      <c r="I9" s="18" t="n">
        <f aca="false">I8*Supuestos!D23</f>
        <v>6.24</v>
      </c>
      <c r="J9" s="18" t="n">
        <f aca="false">J8*Supuestos!E23</f>
        <v>22.4</v>
      </c>
    </row>
    <row r="10" customFormat="false" ht="15" hidden="false" customHeight="false" outlineLevel="0" collapsed="false">
      <c r="A10" s="0" t="s">
        <v>93</v>
      </c>
      <c r="B10" s="18" t="n">
        <f aca="false">B9*Supuestos!C24</f>
        <v>0.05</v>
      </c>
      <c r="C10" s="18" t="n">
        <f aca="false">C9*Supuestos!D24</f>
        <v>0.507</v>
      </c>
      <c r="D10" s="18" t="n">
        <f aca="false">D9*Supuestos!E24</f>
        <v>2.1</v>
      </c>
      <c r="E10" s="18" t="n">
        <f aca="false">E9*Supuestos!C24</f>
        <v>0.2</v>
      </c>
      <c r="F10" s="18" t="n">
        <f aca="false">F9*Supuestos!D24</f>
        <v>2.028</v>
      </c>
      <c r="G10" s="18" t="n">
        <f aca="false">G9*Supuestos!E24</f>
        <v>8.4</v>
      </c>
      <c r="H10" s="18" t="n">
        <f aca="false">H9*Supuestos!C24</f>
        <v>0.4</v>
      </c>
      <c r="I10" s="18" t="n">
        <f aca="false">I9*Supuestos!D24</f>
        <v>4.056</v>
      </c>
      <c r="J10" s="18" t="n">
        <f aca="false">J9*Supuestos!E24</f>
        <v>16.8</v>
      </c>
    </row>
    <row r="11" customFormat="false" ht="15" hidden="false" customHeight="false" outlineLevel="0" collapsed="false">
      <c r="A11" s="0" t="s">
        <v>94</v>
      </c>
      <c r="B11" s="18" t="n">
        <f aca="false">B10*Supuestos!C25</f>
        <v>0.015</v>
      </c>
      <c r="C11" s="18" t="n">
        <f aca="false">C10*Supuestos!D25</f>
        <v>0.2535</v>
      </c>
      <c r="D11" s="18" t="n">
        <f aca="false">D10*Supuestos!E25</f>
        <v>1.26</v>
      </c>
      <c r="E11" s="18" t="n">
        <f aca="false">E10*Supuestos!C25</f>
        <v>0.06</v>
      </c>
      <c r="F11" s="18" t="n">
        <f aca="false">F10*Supuestos!D25</f>
        <v>1.014</v>
      </c>
      <c r="G11" s="18" t="n">
        <f aca="false">G10*Supuestos!E25</f>
        <v>5.04</v>
      </c>
      <c r="H11" s="18" t="n">
        <f aca="false">H10*Supuestos!C25</f>
        <v>0.12</v>
      </c>
      <c r="I11" s="18" t="n">
        <f aca="false">I10*Supuestos!D25</f>
        <v>2.028</v>
      </c>
      <c r="J11" s="18" t="n">
        <f aca="false">J10*Supuestos!E25</f>
        <v>10.08</v>
      </c>
    </row>
    <row r="12" customFormat="false" ht="15" hidden="false" customHeight="false" outlineLevel="0" collapsed="false">
      <c r="A12" s="0" t="s">
        <v>95</v>
      </c>
      <c r="B12" s="18" t="n">
        <f aca="false">B11*Supuestos!C26</f>
        <v>0.0075</v>
      </c>
      <c r="C12" s="18" t="n">
        <f aca="false">C11*Supuestos!D26</f>
        <v>0.17745</v>
      </c>
      <c r="D12" s="18" t="n">
        <f aca="false">D11*Supuestos!E26</f>
        <v>1.008</v>
      </c>
      <c r="E12" s="18" t="n">
        <f aca="false">E11*Supuestos!C26</f>
        <v>0.03</v>
      </c>
      <c r="F12" s="18" t="n">
        <f aca="false">F11*Supuestos!D26</f>
        <v>0.7098</v>
      </c>
      <c r="G12" s="18" t="n">
        <f aca="false">G11*Supuestos!E26</f>
        <v>4.032</v>
      </c>
      <c r="H12" s="18" t="n">
        <f aca="false">H11*Supuestos!C26</f>
        <v>0.06</v>
      </c>
      <c r="I12" s="18" t="n">
        <f aca="false">I11*Supuestos!D26</f>
        <v>1.4196</v>
      </c>
      <c r="J12" s="18" t="n">
        <f aca="false">J11*Supuestos!E26</f>
        <v>8.064</v>
      </c>
    </row>
    <row r="13" customFormat="false" ht="15" hidden="false" customHeight="false" outlineLevel="0" collapsed="false">
      <c r="A13" s="0" t="s">
        <v>96</v>
      </c>
      <c r="B13" s="19" t="n">
        <f aca="false">IFERROR(B4/B7,"-")</f>
        <v>200</v>
      </c>
      <c r="C13" s="19" t="n">
        <f aca="false">IFERROR(C4/C7,"-")</f>
        <v>50</v>
      </c>
      <c r="D13" s="19" t="n">
        <f aca="false">IFERROR(D4/D7,"-")</f>
        <v>18.75</v>
      </c>
      <c r="E13" s="19" t="n">
        <f aca="false">IFERROR(E4/E7,"-")</f>
        <v>200</v>
      </c>
      <c r="F13" s="19" t="n">
        <f aca="false">IFERROR(F4/F7,"-")</f>
        <v>50</v>
      </c>
      <c r="G13" s="19" t="n">
        <f aca="false">IFERROR(G4/G7,"-")</f>
        <v>18.75</v>
      </c>
      <c r="H13" s="19" t="n">
        <f aca="false">IFERROR(H4/H7,"-")</f>
        <v>200</v>
      </c>
      <c r="I13" s="19" t="n">
        <f aca="false">IFERROR(I4/I7,"-")</f>
        <v>50</v>
      </c>
      <c r="J13" s="19" t="n">
        <f aca="false">IFERROR(J4/J7,"-")</f>
        <v>18.75</v>
      </c>
    </row>
    <row r="14" customFormat="false" ht="15" hidden="false" customHeight="false" outlineLevel="0" collapsed="false">
      <c r="A14" s="0" t="s">
        <v>97</v>
      </c>
      <c r="B14" s="13" t="n">
        <f aca="false">IFERROR(B4/B9,"-")</f>
        <v>1000</v>
      </c>
      <c r="C14" s="13" t="n">
        <f aca="false">IFERROR(C4/C9,"-")</f>
        <v>128.205128205128</v>
      </c>
      <c r="D14" s="13" t="n">
        <f aca="false">IFERROR(D4/D9,"-")</f>
        <v>35.7142857142857</v>
      </c>
      <c r="E14" s="13" t="n">
        <f aca="false">IFERROR(E4/E9,"-")</f>
        <v>1000</v>
      </c>
      <c r="F14" s="13" t="n">
        <f aca="false">IFERROR(F4/F9,"-")</f>
        <v>128.205128205128</v>
      </c>
      <c r="G14" s="13" t="n">
        <f aca="false">IFERROR(G4/G9,"-")</f>
        <v>35.7142857142857</v>
      </c>
      <c r="H14" s="13" t="n">
        <f aca="false">IFERROR(H4/H9,"-")</f>
        <v>1000</v>
      </c>
      <c r="I14" s="13" t="n">
        <f aca="false">IFERROR(I4/I9,"-")</f>
        <v>128.205128205128</v>
      </c>
      <c r="J14" s="13" t="n">
        <f aca="false">IFERROR(J4/J9,"-")</f>
        <v>35.7142857142857</v>
      </c>
    </row>
    <row r="15" customFormat="false" ht="15" hidden="false" customHeight="false" outlineLevel="0" collapsed="false">
      <c r="A15" s="0" t="s">
        <v>98</v>
      </c>
      <c r="B15" s="13" t="n">
        <f aca="false">IFERROR(B4/B12,"-")</f>
        <v>13333.3333333333</v>
      </c>
      <c r="C15" s="13" t="n">
        <f aca="false">IFERROR(C4/C12,"-")</f>
        <v>563.539025077487</v>
      </c>
      <c r="D15" s="13" t="n">
        <f aca="false">IFERROR(D4/D12,"-")</f>
        <v>99.2063492063492</v>
      </c>
      <c r="E15" s="13" t="n">
        <f aca="false">IFERROR(E4/E12,"-")</f>
        <v>13333.3333333333</v>
      </c>
      <c r="F15" s="13" t="n">
        <f aca="false">IFERROR(F4/F12,"-")</f>
        <v>563.539025077487</v>
      </c>
      <c r="G15" s="13" t="n">
        <f aca="false">IFERROR(G4/G12,"-")</f>
        <v>99.2063492063492</v>
      </c>
      <c r="H15" s="13" t="n">
        <f aca="false">IFERROR(H4/H12,"-")</f>
        <v>13333.3333333333</v>
      </c>
      <c r="I15" s="13" t="n">
        <f aca="false">IFERROR(I4/I12,"-")</f>
        <v>563.539025077487</v>
      </c>
      <c r="J15" s="13" t="n">
        <f aca="false">IFERROR(J4/J12,"-")</f>
        <v>99.2063492063492</v>
      </c>
    </row>
    <row r="16" customFormat="false" ht="15" hidden="false" customHeight="false" outlineLevel="0" collapsed="false">
      <c r="A16" s="0" t="s">
        <v>99</v>
      </c>
      <c r="B16" s="14" t="n">
        <f aca="false">B7*Supuestos!$C$14+B9*Supuestos!$C$15+B10*Supuestos!$C$16</f>
        <v>0.375</v>
      </c>
      <c r="C16" s="14" t="n">
        <f aca="false">C7*Supuestos!$C$14+C9*Supuestos!$C$15+C10*Supuestos!$C$16</f>
        <v>2.684</v>
      </c>
      <c r="D16" s="14" t="n">
        <f aca="false">D7*Supuestos!$C$14+D9*Supuestos!$C$15+D10*Supuestos!$C$16</f>
        <v>9.73333333333333</v>
      </c>
      <c r="E16" s="14" t="n">
        <f aca="false">E7*Supuestos!$C$14+E9*Supuestos!$C$15+E10*Supuestos!$C$16</f>
        <v>1.5</v>
      </c>
      <c r="F16" s="14" t="n">
        <f aca="false">F7*Supuestos!$C$14+F9*Supuestos!$C$15+F10*Supuestos!$C$16</f>
        <v>10.736</v>
      </c>
      <c r="G16" s="14" t="n">
        <f aca="false">G7*Supuestos!$C$14+G9*Supuestos!$C$15+G10*Supuestos!$C$16</f>
        <v>38.9333333333333</v>
      </c>
      <c r="H16" s="14" t="n">
        <f aca="false">H7*Supuestos!$C$14+H9*Supuestos!$C$15+H10*Supuestos!$C$16</f>
        <v>3</v>
      </c>
      <c r="I16" s="14" t="n">
        <f aca="false">I7*Supuestos!$C$14+I9*Supuestos!$C$15+I10*Supuestos!$C$16</f>
        <v>21.472</v>
      </c>
      <c r="J16" s="14" t="n">
        <f aca="false">J7*Supuestos!$C$14+J9*Supuestos!$C$15+J10*Supuestos!$C$16</f>
        <v>77.8666666666667</v>
      </c>
    </row>
    <row r="17" customFormat="false" ht="15" hidden="false" customHeight="false" outlineLevel="0" collapsed="false">
      <c r="A17" s="0" t="s">
        <v>100</v>
      </c>
      <c r="B17" s="13" t="n">
        <f aca="false">(B11-B12)*Supuestos!$C$33*Supuestos!$C$3</f>
        <v>7.5</v>
      </c>
      <c r="C17" s="13" t="n">
        <f aca="false">(C11-C12)*Supuestos!$C$33*Supuestos!$C$3</f>
        <v>76.05</v>
      </c>
      <c r="D17" s="13" t="n">
        <f aca="false">(D11-D12)*Supuestos!$C$33*Supuestos!$C$3</f>
        <v>252</v>
      </c>
      <c r="E17" s="13" t="n">
        <f aca="false">(E11-E12)*Supuestos!$C$33*Supuestos!$C$3</f>
        <v>30</v>
      </c>
      <c r="F17" s="13" t="n">
        <f aca="false">(F11-F12)*Supuestos!$C$33*Supuestos!$C$3</f>
        <v>304.2</v>
      </c>
      <c r="G17" s="13" t="n">
        <f aca="false">(G11-G12)*Supuestos!$C$33*Supuestos!$C$3</f>
        <v>1008</v>
      </c>
      <c r="H17" s="13" t="n">
        <f aca="false">(H11-H12)*Supuestos!$C$33*Supuestos!$C$3</f>
        <v>60</v>
      </c>
      <c r="I17" s="13" t="n">
        <f aca="false">(I11-I12)*Supuestos!$C$33*Supuestos!$C$3</f>
        <v>608.4</v>
      </c>
      <c r="J17" s="13" t="n">
        <f aca="false">(J11-J12)*Supuestos!$C$33*Supuestos!$C$3</f>
        <v>2016</v>
      </c>
    </row>
    <row r="18" customFormat="false" ht="15" hidden="false" customHeight="false" outlineLevel="0" collapsed="false">
      <c r="A18" s="0" t="s">
        <v>101</v>
      </c>
      <c r="B18" s="13" t="n">
        <f aca="false">IFERROR((B4+B16*Supuestos!$C$3+B17)/B12,"-")</f>
        <v>15333.3333333333</v>
      </c>
      <c r="C18" s="13" t="n">
        <f aca="false">IFERROR((C4+C16*Supuestos!$C$3+C17)/C12,"-")</f>
        <v>1294.61820231051</v>
      </c>
      <c r="D18" s="13" t="n">
        <f aca="false">IFERROR((D4+D16*Supuestos!$C$3+D17)/D12,"-")</f>
        <v>542.328042328042</v>
      </c>
      <c r="E18" s="13" t="n">
        <f aca="false">IFERROR((E4+E16*Supuestos!$C$3+E17)/E12,"-")</f>
        <v>15333.3333333333</v>
      </c>
      <c r="F18" s="13" t="n">
        <f aca="false">IFERROR((F4+F16*Supuestos!$C$3+F17)/F12,"-")</f>
        <v>1294.61820231051</v>
      </c>
      <c r="G18" s="13" t="n">
        <f aca="false">IFERROR((G4+G16*Supuestos!$C$3+G17)/G12,"-")</f>
        <v>542.328042328042</v>
      </c>
      <c r="H18" s="13" t="n">
        <f aca="false">IFERROR((H4+H16*Supuestos!$C$3+H17)/H12,"-")</f>
        <v>15333.3333333333</v>
      </c>
      <c r="I18" s="13" t="n">
        <f aca="false">IFERROR((I4+I16*Supuestos!$C$3+I17)/I12,"-")</f>
        <v>1294.61820231051</v>
      </c>
      <c r="J18" s="13" t="n">
        <f aca="false">IFERROR((J4+J16*Supuestos!$C$3+J17)/J12,"-")</f>
        <v>542.328042328042</v>
      </c>
    </row>
    <row r="19" customFormat="false" ht="15" hidden="false" customHeight="false" outlineLevel="0" collapsed="false">
      <c r="A19" s="0" t="s">
        <v>102</v>
      </c>
      <c r="B19" s="13" t="n">
        <f aca="false">B12*INDEX(Contribucion!$D$4:$D$6,Supuestos!$C$4)</f>
        <v>28.2</v>
      </c>
      <c r="C19" s="13" t="n">
        <f aca="false">C12*INDEX(Contribucion!$D$4:$D$6,Supuestos!$C$4)</f>
        <v>667.212</v>
      </c>
      <c r="D19" s="13" t="n">
        <f aca="false">D12*INDEX(Contribucion!$D$4:$D$6,Supuestos!$C$4)</f>
        <v>3790.08</v>
      </c>
      <c r="E19" s="13" t="n">
        <f aca="false">E12*INDEX(Contribucion!$D$4:$D$6,Supuestos!$C$4)</f>
        <v>112.8</v>
      </c>
      <c r="F19" s="13" t="n">
        <f aca="false">F12*INDEX(Contribucion!$D$4:$D$6,Supuestos!$C$4)</f>
        <v>2668.848</v>
      </c>
      <c r="G19" s="13" t="n">
        <f aca="false">G12*INDEX(Contribucion!$D$4:$D$6,Supuestos!$C$4)</f>
        <v>15160.32</v>
      </c>
      <c r="H19" s="13" t="n">
        <f aca="false">H12*INDEX(Contribucion!$D$4:$D$6,Supuestos!$C$4)</f>
        <v>225.6</v>
      </c>
      <c r="I19" s="13" t="n">
        <f aca="false">I12*INDEX(Contribucion!$D$4:$D$6,Supuestos!$C$4)</f>
        <v>5337.696</v>
      </c>
      <c r="J19" s="13" t="n">
        <f aca="false">J12*INDEX(Contribucion!$D$4:$D$6,Supuestos!$C$4)</f>
        <v>30320.64</v>
      </c>
    </row>
    <row r="20" customFormat="false" ht="15" hidden="false" customHeight="false" outlineLevel="0" collapsed="false">
      <c r="A20" s="0" t="s">
        <v>103</v>
      </c>
      <c r="B20" s="13" t="n">
        <f aca="false">B19-B4-B16*Supuestos!$C$3-B17</f>
        <v>-86.8</v>
      </c>
      <c r="C20" s="13" t="n">
        <f aca="false">C19-C4-C16*Supuestos!$C$3-C17</f>
        <v>437.482</v>
      </c>
      <c r="D20" s="13" t="n">
        <f aca="false">D19-D4-D16*Supuestos!$C$3-D17</f>
        <v>3243.41333333333</v>
      </c>
      <c r="E20" s="13" t="n">
        <f aca="false">E19-E4-E16*Supuestos!$C$3-E17</f>
        <v>-347.2</v>
      </c>
      <c r="F20" s="13" t="n">
        <f aca="false">F19-F4-F16*Supuestos!$C$3-F17</f>
        <v>1749.928</v>
      </c>
      <c r="G20" s="13" t="n">
        <f aca="false">G19-G4-G16*Supuestos!$C$3-G17</f>
        <v>12973.6533333333</v>
      </c>
      <c r="H20" s="13" t="n">
        <f aca="false">H19-H4-H16*Supuestos!$C$3-H17</f>
        <v>-694.4</v>
      </c>
      <c r="I20" s="13" t="n">
        <f aca="false">I19-I4-I16*Supuestos!$C$3-I17</f>
        <v>3499.856</v>
      </c>
      <c r="J20" s="13" t="n">
        <f aca="false">J19-J4-J16*Supuestos!$C$3-J17</f>
        <v>25947.3066666667</v>
      </c>
    </row>
    <row r="23" customFormat="false" ht="15" hidden="false" customHeight="false" outlineLevel="0" collapsed="false">
      <c r="A23" s="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105</v>
      </c>
    </row>
    <row r="3" customFormat="false" ht="15" hidden="false" customHeight="false" outlineLevel="0" collapsed="false">
      <c r="A3" s="0" t="s">
        <v>106</v>
      </c>
      <c r="C3" s="13" t="n">
        <f aca="false">INDEX(Contribucion!$F$4:$F$6,Supuestos!$C$4)</f>
        <v>1880</v>
      </c>
    </row>
    <row r="4" customFormat="false" ht="15" hidden="false" customHeight="false" outlineLevel="0" collapsed="false">
      <c r="A4" s="0" t="s">
        <v>107</v>
      </c>
      <c r="C4" s="12" t="n">
        <f aca="false">Supuestos!D28</f>
        <v>0.088725</v>
      </c>
    </row>
    <row r="5" customFormat="false" ht="15" hidden="false" customHeight="false" outlineLevel="0" collapsed="false">
      <c r="A5" s="0" t="s">
        <v>108</v>
      </c>
      <c r="C5" s="13" t="n">
        <f aca="false">(Embudo!F16*Supuestos!$C$3+Embudo!F17)/Embudo!F12</f>
        <v>731.079177233024</v>
      </c>
      <c r="D5" s="4" t="s">
        <v>109</v>
      </c>
    </row>
    <row r="6" customFormat="false" ht="15" hidden="false" customHeight="false" outlineLevel="0" collapsed="false">
      <c r="A6" s="11" t="s">
        <v>110</v>
      </c>
      <c r="C6" s="19" t="n">
        <f aca="false">MAX(0,(C3-C5)*C4)</f>
        <v>101.938</v>
      </c>
    </row>
    <row r="7" customFormat="false" ht="15" hidden="false" customHeight="false" outlineLevel="0" collapsed="false">
      <c r="A7" s="0" t="s">
        <v>111</v>
      </c>
    </row>
    <row r="9" customFormat="false" ht="15" hidden="false" customHeight="false" outlineLevel="0" collapsed="false">
      <c r="A9" s="11" t="s">
        <v>112</v>
      </c>
    </row>
    <row r="10" customFormat="false" ht="15" hidden="false" customHeight="false" outlineLevel="0" collapsed="false">
      <c r="A10" s="11" t="s">
        <v>113</v>
      </c>
      <c r="B10" s="20" t="n">
        <v>0.01</v>
      </c>
      <c r="C10" s="20" t="n">
        <v>0.02</v>
      </c>
      <c r="D10" s="20" t="n">
        <v>0.03</v>
      </c>
      <c r="E10" s="20" t="n">
        <v>0.05</v>
      </c>
      <c r="F10" s="20" t="n">
        <v>0.08</v>
      </c>
      <c r="G10" s="20" t="n">
        <v>0.1</v>
      </c>
    </row>
    <row r="11" customFormat="false" ht="15" hidden="false" customHeight="false" outlineLevel="0" collapsed="false">
      <c r="A11" s="21" t="n">
        <v>0.75</v>
      </c>
      <c r="B11" s="19" t="n">
        <f aca="false">$A11/B$10</f>
        <v>75</v>
      </c>
      <c r="C11" s="19" t="n">
        <f aca="false">$A11/C$10</f>
        <v>37.5</v>
      </c>
      <c r="D11" s="19" t="n">
        <f aca="false">$A11/D$10</f>
        <v>25</v>
      </c>
      <c r="E11" s="19" t="n">
        <f aca="false">$A11/E$10</f>
        <v>15</v>
      </c>
      <c r="F11" s="19" t="n">
        <f aca="false">$A11/F$10</f>
        <v>9.375</v>
      </c>
      <c r="G11" s="19" t="n">
        <f aca="false">$A11/G$10</f>
        <v>7.5</v>
      </c>
    </row>
    <row r="12" customFormat="false" ht="15" hidden="false" customHeight="false" outlineLevel="0" collapsed="false">
      <c r="A12" s="21" t="n">
        <v>1</v>
      </c>
      <c r="B12" s="19" t="n">
        <f aca="false">$A12/B$10</f>
        <v>100</v>
      </c>
      <c r="C12" s="19" t="n">
        <f aca="false">$A12/C$10</f>
        <v>50</v>
      </c>
      <c r="D12" s="19" t="n">
        <f aca="false">$A12/D$10</f>
        <v>33.3333333333333</v>
      </c>
      <c r="E12" s="19" t="n">
        <f aca="false">$A12/E$10</f>
        <v>20</v>
      </c>
      <c r="F12" s="19" t="n">
        <f aca="false">$A12/F$10</f>
        <v>12.5</v>
      </c>
      <c r="G12" s="19" t="n">
        <f aca="false">$A12/G$10</f>
        <v>10</v>
      </c>
    </row>
    <row r="13" customFormat="false" ht="15" hidden="false" customHeight="false" outlineLevel="0" collapsed="false">
      <c r="A13" s="21" t="n">
        <v>1.5</v>
      </c>
      <c r="B13" s="19" t="n">
        <f aca="false">$A13/B$10</f>
        <v>150</v>
      </c>
      <c r="C13" s="19" t="n">
        <f aca="false">$A13/C$10</f>
        <v>75</v>
      </c>
      <c r="D13" s="19" t="n">
        <f aca="false">$A13/D$10</f>
        <v>50</v>
      </c>
      <c r="E13" s="19" t="n">
        <f aca="false">$A13/E$10</f>
        <v>30</v>
      </c>
      <c r="F13" s="19" t="n">
        <f aca="false">$A13/F$10</f>
        <v>18.75</v>
      </c>
      <c r="G13" s="19" t="n">
        <f aca="false">$A13/G$10</f>
        <v>15</v>
      </c>
    </row>
    <row r="14" customFormat="false" ht="15" hidden="false" customHeight="false" outlineLevel="0" collapsed="false">
      <c r="A14" s="21" t="n">
        <v>2</v>
      </c>
      <c r="B14" s="19" t="n">
        <f aca="false">$A14/B$10</f>
        <v>200</v>
      </c>
      <c r="C14" s="19" t="n">
        <f aca="false">$A14/C$10</f>
        <v>100</v>
      </c>
      <c r="D14" s="19" t="n">
        <f aca="false">$A14/D$10</f>
        <v>66.6666666666667</v>
      </c>
      <c r="E14" s="19" t="n">
        <f aca="false">$A14/E$10</f>
        <v>40</v>
      </c>
      <c r="F14" s="19" t="n">
        <f aca="false">$A14/F$10</f>
        <v>25</v>
      </c>
      <c r="G14" s="19" t="n">
        <f aca="false">$A14/G$10</f>
        <v>20</v>
      </c>
    </row>
    <row r="15" customFormat="false" ht="15" hidden="false" customHeight="false" outlineLevel="0" collapsed="false">
      <c r="A15" s="21" t="n">
        <v>2.5</v>
      </c>
      <c r="B15" s="19" t="n">
        <f aca="false">$A15/B$10</f>
        <v>250</v>
      </c>
      <c r="C15" s="19" t="n">
        <f aca="false">$A15/C$10</f>
        <v>125</v>
      </c>
      <c r="D15" s="19" t="n">
        <f aca="false">$A15/D$10</f>
        <v>83.3333333333333</v>
      </c>
      <c r="E15" s="19" t="n">
        <f aca="false">$A15/E$10</f>
        <v>50</v>
      </c>
      <c r="F15" s="19" t="n">
        <f aca="false">$A15/F$10</f>
        <v>31.25</v>
      </c>
      <c r="G15" s="19" t="n">
        <f aca="false">$A15/G$10</f>
        <v>25</v>
      </c>
    </row>
    <row r="16" customFormat="false" ht="15" hidden="false" customHeight="false" outlineLevel="0" collapsed="false">
      <c r="A16" s="21" t="n">
        <v>3</v>
      </c>
      <c r="B16" s="19" t="n">
        <f aca="false">$A16/B$10</f>
        <v>300</v>
      </c>
      <c r="C16" s="19" t="n">
        <f aca="false">$A16/C$10</f>
        <v>150</v>
      </c>
      <c r="D16" s="19" t="n">
        <f aca="false">$A16/D$10</f>
        <v>100</v>
      </c>
      <c r="E16" s="19" t="n">
        <f aca="false">$A16/E$10</f>
        <v>60</v>
      </c>
      <c r="F16" s="19" t="n">
        <f aca="false">$A16/F$10</f>
        <v>37.5</v>
      </c>
      <c r="G16" s="19" t="n">
        <f aca="false">$A16/G$10</f>
        <v>30</v>
      </c>
    </row>
    <row r="17" customFormat="false" ht="15" hidden="false" customHeight="false" outlineLevel="0" collapsed="false">
      <c r="A17" s="21" t="n">
        <v>4</v>
      </c>
      <c r="B17" s="19" t="n">
        <f aca="false">$A17/B$10</f>
        <v>400</v>
      </c>
      <c r="C17" s="19" t="n">
        <f aca="false">$A17/C$10</f>
        <v>200</v>
      </c>
      <c r="D17" s="19" t="n">
        <f aca="false">$A17/D$10</f>
        <v>133.333333333333</v>
      </c>
      <c r="E17" s="19" t="n">
        <f aca="false">$A17/E$10</f>
        <v>80</v>
      </c>
      <c r="F17" s="19" t="n">
        <f aca="false">$A17/F$10</f>
        <v>50</v>
      </c>
      <c r="G17" s="19" t="n">
        <f aca="false">$A17/G$10</f>
        <v>40</v>
      </c>
    </row>
    <row r="18" customFormat="false" ht="15" hidden="false" customHeight="false" outlineLevel="0" collapsed="false">
      <c r="A18" s="21" t="n">
        <v>5</v>
      </c>
      <c r="B18" s="19" t="n">
        <f aca="false">$A18/B$10</f>
        <v>500</v>
      </c>
      <c r="C18" s="19" t="n">
        <f aca="false">$A18/C$10</f>
        <v>250</v>
      </c>
      <c r="D18" s="19" t="n">
        <f aca="false">$A18/D$10</f>
        <v>166.666666666667</v>
      </c>
      <c r="E18" s="19" t="n">
        <f aca="false">$A18/E$10</f>
        <v>100</v>
      </c>
      <c r="F18" s="19" t="n">
        <f aca="false">$A18/F$10</f>
        <v>62.5</v>
      </c>
      <c r="G18" s="19" t="n">
        <f aca="false">$A18/G$10</f>
        <v>50</v>
      </c>
    </row>
    <row r="19" customFormat="false" ht="15" hidden="false" customHeight="false" outlineLevel="0" collapsed="false">
      <c r="A19" s="21" t="n">
        <v>6</v>
      </c>
      <c r="B19" s="19" t="n">
        <f aca="false">$A19/B$10</f>
        <v>600</v>
      </c>
      <c r="C19" s="19" t="n">
        <f aca="false">$A19/C$10</f>
        <v>300</v>
      </c>
      <c r="D19" s="19" t="n">
        <f aca="false">$A19/D$10</f>
        <v>200</v>
      </c>
      <c r="E19" s="19" t="n">
        <f aca="false">$A19/E$10</f>
        <v>120</v>
      </c>
      <c r="F19" s="19" t="n">
        <f aca="false">$A19/F$10</f>
        <v>75</v>
      </c>
      <c r="G19" s="19" t="n">
        <f aca="false">$A19/G$10</f>
        <v>60</v>
      </c>
    </row>
    <row r="21" customFormat="false" ht="15" hidden="false" customHeight="false" outlineLevel="0" collapsed="false">
      <c r="A21" s="0" t="s">
        <v>114</v>
      </c>
    </row>
    <row r="22" customFormat="false" ht="15" hidden="false" customHeight="false" outlineLevel="0" collapsed="false">
      <c r="A22" s="0" t="s">
        <v>115</v>
      </c>
    </row>
    <row r="23" customFormat="false" ht="15" hidden="false" customHeight="false" outlineLevel="0" collapsed="false">
      <c r="A23" s="0" t="s">
        <v>116</v>
      </c>
    </row>
    <row r="24" customFormat="false" ht="15" hidden="false" customHeight="false" outlineLevel="0" collapsed="false">
      <c r="B24" s="0" t="s">
        <v>117</v>
      </c>
      <c r="C24" s="20" t="n">
        <v>0.05</v>
      </c>
    </row>
    <row r="25" customFormat="false" ht="15" hidden="false" customHeight="false" outlineLevel="0" collapsed="false">
      <c r="B25" s="0" t="s">
        <v>118</v>
      </c>
      <c r="C25" s="20" t="n">
        <v>0.025</v>
      </c>
    </row>
    <row r="26" customFormat="false" ht="15" hidden="false" customHeight="false" outlineLevel="0" collapsed="false">
      <c r="B26" s="0" t="s">
        <v>119</v>
      </c>
      <c r="C26" s="0" t="n">
        <f aca="false">ROUNDUP(1.96^2*C24*(1-C24)/C25^2,0)</f>
        <v>292</v>
      </c>
    </row>
  </sheetData>
  <conditionalFormatting sqref="B11:G19">
    <cfRule type="expression" priority="2" aboveAverage="0" equalAverage="0" bottom="0" percent="0" rank="0" text="" dxfId="0">
      <formula>B11&lt;=$C$6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0" t="s">
        <v>121</v>
      </c>
      <c r="B3" s="22" t="n">
        <v>400</v>
      </c>
      <c r="C3" s="4" t="s">
        <v>122</v>
      </c>
    </row>
    <row r="4" customFormat="false" ht="15" hidden="false" customHeight="false" outlineLevel="0" collapsed="false">
      <c r="A4" s="0" t="s">
        <v>123</v>
      </c>
      <c r="B4" s="22" t="n">
        <v>400</v>
      </c>
      <c r="C4" s="4" t="s">
        <v>124</v>
      </c>
    </row>
    <row r="5" customFormat="false" ht="15" hidden="false" customHeight="false" outlineLevel="0" collapsed="false">
      <c r="A5" s="0" t="s">
        <v>125</v>
      </c>
      <c r="B5" s="22" t="n">
        <v>60</v>
      </c>
      <c r="C5" s="4" t="s">
        <v>126</v>
      </c>
    </row>
    <row r="6" customFormat="false" ht="15" hidden="false" customHeight="false" outlineLevel="0" collapsed="false">
      <c r="A6" s="0" t="s">
        <v>127</v>
      </c>
      <c r="B6" s="22" t="n">
        <v>35</v>
      </c>
      <c r="C6" s="4" t="s">
        <v>128</v>
      </c>
    </row>
    <row r="7" customFormat="false" ht="15" hidden="false" customHeight="false" outlineLevel="0" collapsed="false">
      <c r="A7" s="0" t="s">
        <v>129</v>
      </c>
      <c r="B7" s="22" t="n">
        <v>60</v>
      </c>
      <c r="C7" s="4" t="s">
        <v>130</v>
      </c>
    </row>
    <row r="8" customFormat="false" ht="15" hidden="false" customHeight="false" outlineLevel="0" collapsed="false">
      <c r="A8" s="0" t="s">
        <v>131</v>
      </c>
      <c r="B8" s="20" t="n">
        <v>0.03</v>
      </c>
      <c r="C8" s="4" t="s">
        <v>132</v>
      </c>
    </row>
    <row r="10" customFormat="false" ht="15" hidden="false" customHeight="false" outlineLevel="0" collapsed="false">
      <c r="A10" s="0" t="s">
        <v>133</v>
      </c>
      <c r="B10" s="19" t="n">
        <f aca="false">B3*(1+B8)</f>
        <v>412</v>
      </c>
    </row>
    <row r="11" customFormat="false" ht="15" hidden="false" customHeight="false" outlineLevel="0" collapsed="false">
      <c r="A11" s="0" t="s">
        <v>134</v>
      </c>
      <c r="B11" s="13" t="n">
        <f aca="false">B3+B4</f>
        <v>800</v>
      </c>
    </row>
    <row r="12" customFormat="false" ht="15" hidden="false" customHeight="false" outlineLevel="0" collapsed="false">
      <c r="A12" s="0" t="s">
        <v>135</v>
      </c>
      <c r="B12" s="19" t="n">
        <f aca="false">B4*B8</f>
        <v>12</v>
      </c>
    </row>
    <row r="13" customFormat="false" ht="15" hidden="false" customHeight="false" outlineLevel="0" collapsed="false">
      <c r="A13" s="0" t="s">
        <v>136</v>
      </c>
      <c r="B13" s="19" t="n">
        <f aca="false">(B10+B12)/B11</f>
        <v>0.53</v>
      </c>
    </row>
    <row r="14" customFormat="false" ht="15" hidden="false" customHeight="false" outlineLevel="0" collapsed="false">
      <c r="A14" s="0" t="s">
        <v>137</v>
      </c>
      <c r="B14" s="0" t="n">
        <f aca="false">B5+B6+B7</f>
        <v>155</v>
      </c>
    </row>
    <row r="16" customFormat="false" ht="15" hidden="false" customHeight="false" outlineLevel="0" collapsed="false">
      <c r="A16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2026-09-18T18:45:01Z</dcterms:created>
  <dc:creator>openpyxl</dc:creator>
  <dc:description/>
  <dc:language>en-US</dc:language>
  <cp:lastModifiedBy/>
  <dcterms:modified xsi:type="dcterms:W3CDTF">2026-09-18T18:45:01Z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